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40" windowWidth="19140" windowHeight="7090" activeTab="2"/>
  </bookViews>
  <sheets>
    <sheet name="Risk Register" sheetId="1" r:id="rId1"/>
    <sheet name="HeatMap" sheetId="2" r:id="rId2"/>
    <sheet name="RACI Matrix" sheetId="3" r:id="rId3"/>
  </sheets>
  <definedNames>
    <definedName name="_xlnm._FilterDatabase" localSheetId="0" hidden="1">'Risk Register'!$A$1:$L$15</definedName>
  </definedNames>
  <calcPr calcId="145621"/>
  <fileRecoveryPr repairLoad="1"/>
</workbook>
</file>

<file path=xl/calcChain.xml><?xml version="1.0" encoding="utf-8"?>
<calcChain xmlns="http://schemas.openxmlformats.org/spreadsheetml/2006/main">
  <c r="H3" i="1" l="1"/>
  <c r="H4" i="1"/>
  <c r="H5" i="1"/>
  <c r="H6" i="1"/>
  <c r="H7" i="1"/>
  <c r="H8" i="1"/>
  <c r="H9" i="1"/>
  <c r="H10" i="1"/>
  <c r="H11" i="1"/>
  <c r="H12" i="1"/>
  <c r="H13" i="1"/>
  <c r="H14" i="1"/>
  <c r="H15" i="1"/>
  <c r="H2" i="1"/>
</calcChain>
</file>

<file path=xl/sharedStrings.xml><?xml version="1.0" encoding="utf-8"?>
<sst xmlns="http://schemas.openxmlformats.org/spreadsheetml/2006/main" count="194" uniqueCount="94">
  <si>
    <t>Risk ID</t>
  </si>
  <si>
    <t>Risk Description</t>
  </si>
  <si>
    <t>Impact</t>
  </si>
  <si>
    <t>Risk Score</t>
  </si>
  <si>
    <t>Risk Treatment Strategy</t>
  </si>
  <si>
    <t>NIST AI RMF Mapping</t>
  </si>
  <si>
    <t>ISO 42001 Mapping</t>
  </si>
  <si>
    <t>EU AI ACT Category</t>
  </si>
  <si>
    <t>Probability</t>
  </si>
  <si>
    <t>Mitigation Strategy</t>
  </si>
  <si>
    <t>PROBABILITY</t>
  </si>
  <si>
    <t>IMPACT</t>
  </si>
  <si>
    <t>R1</t>
  </si>
  <si>
    <t>R2</t>
  </si>
  <si>
    <t>R3</t>
  </si>
  <si>
    <t>R4</t>
  </si>
  <si>
    <t>R5</t>
  </si>
  <si>
    <t>R6</t>
  </si>
  <si>
    <t>R7</t>
  </si>
  <si>
    <t>R8</t>
  </si>
  <si>
    <t>R9</t>
  </si>
  <si>
    <t>R10</t>
  </si>
  <si>
    <t>R11</t>
  </si>
  <si>
    <t>R12</t>
  </si>
  <si>
    <t>R13</t>
  </si>
  <si>
    <t>R14</t>
  </si>
  <si>
    <t xml:space="preserve">Model trained on poisoned data to explicitly ignore certain section of candidates </t>
  </si>
  <si>
    <t>Model hallucinating, suggesting random candidates</t>
  </si>
  <si>
    <t>Model acting as a black box, giving candidate score without reasoning</t>
  </si>
  <si>
    <t xml:space="preserve">Model not robust enough to identify the errors in resume </t>
  </si>
  <si>
    <t>Hiring Team using a model provided by another company. In case, the model is stopped or even charged, the whole process faces a problem</t>
  </si>
  <si>
    <t>Model provides mis-information and starts selecting/rejecting candidate on its own</t>
  </si>
  <si>
    <t>No Human in the loop to review the output given by the model</t>
  </si>
  <si>
    <t>The system does not keep a log of who are rejected and why</t>
  </si>
  <si>
    <t>Model drift happens. Model is trained on 2023 data or for a different role while requirements changes in 2026</t>
  </si>
  <si>
    <t xml:space="preserve">Model trained on Biased data – Input data trained </t>
  </si>
  <si>
    <t xml:space="preserve">Model leaking PII – Internal vulnerability </t>
  </si>
  <si>
    <t>Model influenced by proxy variables – O/P is impacted</t>
  </si>
  <si>
    <t>Model starts jailbreaking and starts considering factors which are off limits, to score candidates – Prompt Injection</t>
  </si>
  <si>
    <t>Hiring Team uses a model present on the internet to build the resume shortlisting system. The model has security gaps and hence candidates PII data is leaked – External model dependency</t>
  </si>
  <si>
    <t>Resources for AI System</t>
  </si>
  <si>
    <t>Assessing AI System</t>
  </si>
  <si>
    <t>Information for Interested Parties</t>
  </si>
  <si>
    <t>Assessing AI system</t>
  </si>
  <si>
    <t>AI System Lifecycle</t>
  </si>
  <si>
    <t>Fair</t>
  </si>
  <si>
    <t>Privacy Enabled</t>
  </si>
  <si>
    <t>Resilient</t>
  </si>
  <si>
    <t>Safe, Valid &amp; Reliable</t>
  </si>
  <si>
    <t>Explainable</t>
  </si>
  <si>
    <t>Accountable, Reliable</t>
  </si>
  <si>
    <t>Explainable, Valid &amp; Reliable</t>
  </si>
  <si>
    <t>Secure &amp; Resilient</t>
  </si>
  <si>
    <t>Accountable</t>
  </si>
  <si>
    <t>Reliable</t>
  </si>
  <si>
    <t>Assessing AI system
AI System Lifecycle</t>
  </si>
  <si>
    <t>AI System Lifecycle
Awareness &amp; Reporting</t>
  </si>
  <si>
    <t>Assessing AI system
Information for Interested Parties</t>
  </si>
  <si>
    <t>Assessing AI system
AI System Lifecycle
Awareness &amp; Reporting</t>
  </si>
  <si>
    <t>Assessing AI system
AI System Lifecycle
Resources for AI system</t>
  </si>
  <si>
    <t>High Risk</t>
  </si>
  <si>
    <t>Limited</t>
  </si>
  <si>
    <t>Mitigate</t>
  </si>
  <si>
    <t>R1, R2, R5, R12</t>
  </si>
  <si>
    <t>R3, R6</t>
  </si>
  <si>
    <t>R4, R9, R10, R13</t>
  </si>
  <si>
    <t>R7, R8, R14</t>
  </si>
  <si>
    <t>From this heatmap we can deduce that, this is a High Risk System, which majority of risks lying on the extreme right</t>
  </si>
  <si>
    <t>Implement automated bias-detection tools (e.g., Fairlearn) to audit selection rates before the model goes live. Re-train the model on sample data to ensure it is not biased.</t>
  </si>
  <si>
    <t>Check with dummy data to ensure the model is not leakign any PII. Deploy automated Data Masking/Anonymization layers to remove PII before data reaches the model. Keep a record of the parameters which gives a clear o/p</t>
  </si>
  <si>
    <r>
      <t xml:space="preserve">Create a model twin with all the technical details to ensure and understand the logic of the model. - </t>
    </r>
    <r>
      <rPr>
        <b/>
        <i/>
        <sz val="11"/>
        <color theme="1"/>
        <rFont val="Calibri"/>
        <family val="2"/>
        <scheme val="minor"/>
      </rPr>
      <t>This is very complex and costly.</t>
    </r>
    <r>
      <rPr>
        <sz val="11"/>
        <color theme="1"/>
        <rFont val="Calibri"/>
        <family val="2"/>
        <scheme val="minor"/>
      </rPr>
      <t xml:space="preserve"> Instead 
Enable XAI (Explainable AI) features like SHAP or LIME values to provide a 'Reasoning' score for every candidate decision</t>
    </r>
  </si>
  <si>
    <t>Cross check the model with dummy data to ensure the PII is not leaked. 
Perform Vendor Due Diligence and sign Data Processing Agreements (DPA) to ensure the vendor meets ISO 27001 standards</t>
  </si>
  <si>
    <t>Assign a team/individual who reviews all the candidates selected by the model to see if they are satisfying the criteria.
"Define a 'Human Oversight' workflow where no 'Reject' or 'Shortlist' status is finalized without human sign-off in the ATS (Applicant Tracking System)</t>
  </si>
  <si>
    <t>Evaluate Feature Correlation coefficient for the model and remove parameters which have high value</t>
  </si>
  <si>
    <t>Transfer</t>
  </si>
  <si>
    <t>Assign a team/individual who reviews all the candidates selected by the model to see if they are satisfying the criteria.
"Define a 'Human Oversight' workflow where no 'Reject' or 'Shortlist' status is finalized without human sign-off in the ATS</t>
  </si>
  <si>
    <t xml:space="preserve">Retrain the model with sample unbiased data. Add Human in in the loop workflow </t>
  </si>
  <si>
    <t>Add an automation workflow to keep a log of all the output generated by the model</t>
  </si>
  <si>
    <t>Hire a third party who is responsible for the model availability</t>
  </si>
  <si>
    <t>Implement an Input Filtering layer to detect and block adversarial prompts (Prompt Injection) before they reach the LLM."</t>
  </si>
  <si>
    <t>Implement an OCR (Optical Character Recognition) validation layer to ensure resumes with non-standard formatting are parsed correctly before scoring</t>
  </si>
  <si>
    <t xml:space="preserve">Risk Owner
</t>
  </si>
  <si>
    <t>AI Developer</t>
  </si>
  <si>
    <t>HR Manager</t>
  </si>
  <si>
    <t>CISO</t>
  </si>
  <si>
    <t>1. The CISO or Compliance Lead (Technical/Legal Risks) - Security &amp; Regulations
2. The HR Manager or "System Owner" (Operational/Process Risks) - person who "uses" the tool to make hiring decisions.
3. The AI Developer / Data Science Lead (Model Integrity Risks) - technical lead who built or maintains the model.
PII - CISO
Training of model, or anything which impacts output of the model - HR Manager
Model misbehaving - AI Developer</t>
  </si>
  <si>
    <t>CISO: They will be responsible for Data security 
HR Manager: They will be responsible for the final hiring
AI Developer: They will write the code</t>
  </si>
  <si>
    <t>Technical Fix - Data Bias, Retraining of Data
CISO: A
HR: I
Dev: R
Process Fix - HITL
CISO: C
HR: R A
Dev: C
Compliance Fix:  Data logging
CISO: R A 
HR: I
Dev: C</t>
  </si>
  <si>
    <t>A</t>
  </si>
  <si>
    <t>R</t>
  </si>
  <si>
    <t>I</t>
  </si>
  <si>
    <t>R A</t>
  </si>
  <si>
    <t>C</t>
  </si>
  <si>
    <t>A I</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</si>
</sst>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0"/>
      <color theme="1"/>
      <name val="Arial"/>
      <family val="2"/>
    </font>
    <font>
      <sz val="10"/>
      <name val="Arial"/>
      <family val="2"/>
    </font>
    <font>
      <b/>
      <i/>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50">
    <xf numFmtId="0" fontId="0" fillId="0" borderId="0" xfId="0"/>
    <xf numFmtId="0" fontId="1" fillId="0" borderId="1" xfId="0" applyFont="1" applyBorder="1" applyAlignment="1">
      <alignment horizontal="center" vertical="center" wrapText="1"/>
    </xf>
    <xf numFmtId="0" fontId="0" fillId="0" borderId="0" xfId="0" applyBorder="1"/>
    <xf numFmtId="0" fontId="0" fillId="0" borderId="2" xfId="0" applyBorder="1"/>
    <xf numFmtId="0" fontId="0" fillId="2" borderId="0" xfId="0" applyFill="1" applyBorder="1"/>
    <xf numFmtId="0" fontId="0" fillId="3" borderId="0" xfId="0" applyFill="1" applyBorder="1"/>
    <xf numFmtId="0" fontId="0" fillId="2" borderId="3" xfId="0" applyFill="1" applyBorder="1"/>
    <xf numFmtId="0" fontId="0" fillId="2" borderId="2" xfId="0" applyFill="1" applyBorder="1"/>
    <xf numFmtId="0" fontId="0" fillId="0" borderId="0" xfId="0" applyFill="1" applyBorder="1"/>
    <xf numFmtId="0" fontId="0" fillId="0" borderId="0" xfId="0" applyFill="1"/>
    <xf numFmtId="0" fontId="0" fillId="4" borderId="2" xfId="0" applyFill="1" applyBorder="1"/>
    <xf numFmtId="0" fontId="0" fillId="4" borderId="4" xfId="0" applyFill="1" applyBorder="1"/>
    <xf numFmtId="0" fontId="0" fillId="4" borderId="0" xfId="0" applyFill="1" applyBorder="1"/>
    <xf numFmtId="0" fontId="0" fillId="4" borderId="3" xfId="0" applyFill="1" applyBorder="1"/>
    <xf numFmtId="0" fontId="1" fillId="0" borderId="5" xfId="0" applyFont="1" applyBorder="1" applyAlignment="1">
      <alignment horizontal="center" vertical="center" wrapText="1"/>
    </xf>
    <xf numFmtId="0" fontId="0" fillId="0" borderId="1" xfId="0" applyBorder="1"/>
    <xf numFmtId="0" fontId="2" fillId="0" borderId="1" xfId="0" applyFont="1" applyBorder="1" applyAlignment="1">
      <alignment vertical="center" wrapText="1"/>
    </xf>
    <xf numFmtId="0" fontId="2" fillId="0" borderId="1" xfId="0" applyFont="1" applyFill="1" applyBorder="1" applyAlignment="1">
      <alignmen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3" fillId="0" borderId="1" xfId="0" applyFont="1" applyBorder="1" applyAlignment="1">
      <alignment vertical="center" wrapText="1"/>
    </xf>
    <xf numFmtId="0" fontId="0" fillId="0" borderId="1" xfId="0" applyBorder="1" applyAlignment="1"/>
    <xf numFmtId="0" fontId="2" fillId="0" borderId="1" xfId="0" applyFont="1" applyBorder="1" applyAlignment="1">
      <alignment horizontal="left" vertical="center" wrapText="1"/>
    </xf>
    <xf numFmtId="0" fontId="0" fillId="0" borderId="1" xfId="0" applyBorder="1" applyAlignment="1">
      <alignment vertical="top" wrapText="1"/>
    </xf>
    <xf numFmtId="0" fontId="0" fillId="0" borderId="0" xfId="0" applyAlignment="1">
      <alignment horizontal="left"/>
    </xf>
    <xf numFmtId="0" fontId="0" fillId="0" borderId="1" xfId="0"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center"/>
    </xf>
    <xf numFmtId="0" fontId="0" fillId="0" borderId="0"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0" fillId="0" borderId="0" xfId="0" applyAlignment="1">
      <alignment horizontal="left" vertical="top" wrapText="1"/>
    </xf>
    <xf numFmtId="0" fontId="0" fillId="0" borderId="0" xfId="0" applyFont="1" applyAlignment="1">
      <alignment vertical="top" wrapText="1"/>
    </xf>
    <xf numFmtId="0" fontId="1" fillId="0" borderId="2" xfId="0" applyFont="1" applyBorder="1" applyAlignment="1">
      <alignment horizontal="left" vertical="top" wrapText="1"/>
    </xf>
    <xf numFmtId="0" fontId="1" fillId="0" borderId="0" xfId="0" applyFont="1"/>
    <xf numFmtId="0" fontId="1" fillId="0" borderId="8" xfId="0" applyFont="1" applyBorder="1" applyAlignment="1">
      <alignment vertical="top" wrapText="1"/>
    </xf>
    <xf numFmtId="0" fontId="1" fillId="0" borderId="5" xfId="0" applyFont="1" applyFill="1" applyBorder="1" applyAlignment="1">
      <alignment horizontal="center" vertical="top" wrapText="1"/>
    </xf>
    <xf numFmtId="0" fontId="0" fillId="0" borderId="1" xfId="0" applyFill="1" applyBorder="1" applyAlignment="1">
      <alignment vertical="top"/>
    </xf>
    <xf numFmtId="0" fontId="0" fillId="0" borderId="1" xfId="0" applyFill="1" applyBorder="1" applyAlignment="1">
      <alignment horizontal="left" vertical="top"/>
    </xf>
    <xf numFmtId="0" fontId="0" fillId="0" borderId="0" xfId="0" applyFill="1" applyAlignment="1">
      <alignment horizontal="left" vertical="top"/>
    </xf>
    <xf numFmtId="0" fontId="0" fillId="0" borderId="9" xfId="0" applyBorder="1" applyAlignment="1">
      <alignment horizontal="left" vertical="top" wrapText="1"/>
    </xf>
    <xf numFmtId="0" fontId="0" fillId="0" borderId="9" xfId="0" applyBorder="1"/>
    <xf numFmtId="0" fontId="0" fillId="0" borderId="1" xfId="0" applyFont="1" applyBorder="1" applyAlignment="1">
      <alignment vertical="top" wrapText="1"/>
    </xf>
    <xf numFmtId="0" fontId="1" fillId="0" borderId="1" xfId="0" applyFont="1" applyBorder="1"/>
    <xf numFmtId="0" fontId="0" fillId="0" borderId="1" xfId="0" applyBorder="1" applyAlignment="1">
      <alignment horizontal="left" vertical="top" wrapText="1"/>
    </xf>
    <xf numFmtId="0" fontId="0" fillId="0" borderId="1" xfId="0" applyBorder="1" applyAlignment="1">
      <alignment horizontal="left" vertical="top"/>
    </xf>
  </cellXfs>
  <cellStyles count="1">
    <cellStyle name="Normal" xfId="0" builtinId="0"/>
  </cellStyles>
  <dxfs count="3">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topLeftCell="A12" workbookViewId="0">
      <selection activeCell="J19" sqref="J19"/>
    </sheetView>
  </sheetViews>
  <sheetFormatPr defaultRowHeight="14.5" x14ac:dyDescent="0.35"/>
  <cols>
    <col min="2" max="2" width="30.81640625" style="25" customWidth="1"/>
    <col min="3" max="3" width="14.453125" style="25" customWidth="1"/>
    <col min="4" max="4" width="21.90625" style="25" customWidth="1"/>
    <col min="5" max="5" width="12.7265625" style="25" customWidth="1"/>
    <col min="6" max="6" width="11.36328125" style="25" customWidth="1"/>
    <col min="7" max="8" width="8.7265625" style="25"/>
    <col min="9" max="9" width="11.81640625" style="25" customWidth="1"/>
    <col min="10" max="10" width="42.7265625" style="35" customWidth="1"/>
    <col min="11" max="11" width="35.81640625" style="43" customWidth="1"/>
    <col min="12" max="12" width="40.54296875" style="38" customWidth="1"/>
  </cols>
  <sheetData>
    <row r="1" spans="1:12" s="1" customFormat="1" ht="27.5" customHeight="1" x14ac:dyDescent="0.35">
      <c r="A1" s="14" t="s">
        <v>0</v>
      </c>
      <c r="B1" s="14" t="s">
        <v>1</v>
      </c>
      <c r="C1" s="14" t="s">
        <v>5</v>
      </c>
      <c r="D1" s="14" t="s">
        <v>6</v>
      </c>
      <c r="E1" s="14" t="s">
        <v>7</v>
      </c>
      <c r="F1" s="14" t="s">
        <v>8</v>
      </c>
      <c r="G1" s="14" t="s">
        <v>2</v>
      </c>
      <c r="H1" s="14" t="s">
        <v>3</v>
      </c>
      <c r="I1" s="14" t="s">
        <v>4</v>
      </c>
      <c r="J1" s="14" t="s">
        <v>9</v>
      </c>
      <c r="K1" s="40" t="s">
        <v>81</v>
      </c>
      <c r="L1" s="39"/>
    </row>
    <row r="2" spans="1:12" ht="58" x14ac:dyDescent="0.35">
      <c r="A2" s="19" t="s">
        <v>12</v>
      </c>
      <c r="B2" s="21" t="s">
        <v>35</v>
      </c>
      <c r="C2" s="16" t="s">
        <v>45</v>
      </c>
      <c r="D2" s="17" t="s">
        <v>40</v>
      </c>
      <c r="E2" s="18" t="s">
        <v>60</v>
      </c>
      <c r="F2" s="23">
        <v>3</v>
      </c>
      <c r="G2" s="23">
        <v>5</v>
      </c>
      <c r="H2" s="20">
        <f>F2*G2</f>
        <v>15</v>
      </c>
      <c r="I2" s="18" t="s">
        <v>62</v>
      </c>
      <c r="J2" s="24" t="s">
        <v>68</v>
      </c>
      <c r="K2" s="41" t="s">
        <v>83</v>
      </c>
      <c r="L2" s="37" t="s">
        <v>85</v>
      </c>
    </row>
    <row r="3" spans="1:12" ht="72.5" x14ac:dyDescent="0.35">
      <c r="A3" s="19" t="s">
        <v>13</v>
      </c>
      <c r="B3" s="21" t="s">
        <v>36</v>
      </c>
      <c r="C3" s="16" t="s">
        <v>46</v>
      </c>
      <c r="D3" s="17" t="s">
        <v>57</v>
      </c>
      <c r="E3" s="18" t="s">
        <v>60</v>
      </c>
      <c r="F3" s="23">
        <v>3</v>
      </c>
      <c r="G3" s="23">
        <v>5</v>
      </c>
      <c r="H3" s="20">
        <f t="shared" ref="H3:H15" si="0">F3*G3</f>
        <v>15</v>
      </c>
      <c r="I3" s="18" t="s">
        <v>62</v>
      </c>
      <c r="J3" s="24" t="s">
        <v>69</v>
      </c>
      <c r="K3" s="41" t="s">
        <v>84</v>
      </c>
      <c r="L3" s="37"/>
    </row>
    <row r="4" spans="1:12" ht="87" x14ac:dyDescent="0.35">
      <c r="A4" s="19" t="s">
        <v>14</v>
      </c>
      <c r="B4" s="32" t="s">
        <v>26</v>
      </c>
      <c r="C4" s="33" t="s">
        <v>47</v>
      </c>
      <c r="D4" s="34" t="s">
        <v>40</v>
      </c>
      <c r="E4" s="27" t="s">
        <v>60</v>
      </c>
      <c r="F4" s="33">
        <v>2</v>
      </c>
      <c r="G4" s="33">
        <v>5</v>
      </c>
      <c r="H4" s="27">
        <f t="shared" si="0"/>
        <v>10</v>
      </c>
      <c r="I4" s="27" t="s">
        <v>62</v>
      </c>
      <c r="J4" s="26" t="s">
        <v>75</v>
      </c>
      <c r="K4" s="41" t="s">
        <v>83</v>
      </c>
      <c r="L4" s="37"/>
    </row>
    <row r="5" spans="1:12" ht="47.5" customHeight="1" x14ac:dyDescent="0.35">
      <c r="A5" s="19" t="s">
        <v>15</v>
      </c>
      <c r="B5" s="32" t="s">
        <v>27</v>
      </c>
      <c r="C5" s="33" t="s">
        <v>48</v>
      </c>
      <c r="D5" s="34" t="s">
        <v>55</v>
      </c>
      <c r="E5" s="27" t="s">
        <v>60</v>
      </c>
      <c r="F5" s="33">
        <v>2</v>
      </c>
      <c r="G5" s="33">
        <v>4</v>
      </c>
      <c r="H5" s="27">
        <f t="shared" si="0"/>
        <v>8</v>
      </c>
      <c r="I5" s="27" t="s">
        <v>62</v>
      </c>
      <c r="J5" s="26" t="s">
        <v>76</v>
      </c>
      <c r="K5" s="42" t="s">
        <v>82</v>
      </c>
      <c r="L5" s="37"/>
    </row>
    <row r="6" spans="1:12" ht="87" x14ac:dyDescent="0.35">
      <c r="A6" s="19" t="s">
        <v>16</v>
      </c>
      <c r="B6" s="21" t="s">
        <v>28</v>
      </c>
      <c r="C6" s="16" t="s">
        <v>49</v>
      </c>
      <c r="D6" s="17" t="s">
        <v>56</v>
      </c>
      <c r="E6" s="18" t="s">
        <v>60</v>
      </c>
      <c r="F6" s="23">
        <v>3</v>
      </c>
      <c r="G6" s="23">
        <v>5</v>
      </c>
      <c r="H6" s="20">
        <f t="shared" si="0"/>
        <v>15</v>
      </c>
      <c r="I6" s="18" t="s">
        <v>62</v>
      </c>
      <c r="J6" s="24" t="s">
        <v>70</v>
      </c>
      <c r="K6" s="41" t="s">
        <v>82</v>
      </c>
      <c r="L6" s="37"/>
    </row>
    <row r="7" spans="1:12" ht="48.5" customHeight="1" x14ac:dyDescent="0.35">
      <c r="A7" s="19" t="s">
        <v>17</v>
      </c>
      <c r="B7" s="32" t="s">
        <v>37</v>
      </c>
      <c r="C7" s="33" t="s">
        <v>45</v>
      </c>
      <c r="D7" s="34" t="s">
        <v>41</v>
      </c>
      <c r="E7" s="27" t="s">
        <v>60</v>
      </c>
      <c r="F7" s="33">
        <v>2</v>
      </c>
      <c r="G7" s="33">
        <v>5</v>
      </c>
      <c r="H7" s="27">
        <f t="shared" si="0"/>
        <v>10</v>
      </c>
      <c r="I7" s="27" t="s">
        <v>62</v>
      </c>
      <c r="J7" s="26" t="s">
        <v>73</v>
      </c>
      <c r="K7" s="41" t="s">
        <v>83</v>
      </c>
      <c r="L7" s="37"/>
    </row>
    <row r="8" spans="1:12" ht="76" customHeight="1" x14ac:dyDescent="0.35">
      <c r="A8" s="19" t="s">
        <v>18</v>
      </c>
      <c r="B8" s="32" t="s">
        <v>29</v>
      </c>
      <c r="C8" s="33" t="s">
        <v>47</v>
      </c>
      <c r="D8" s="34" t="s">
        <v>44</v>
      </c>
      <c r="E8" s="27" t="s">
        <v>61</v>
      </c>
      <c r="F8" s="33">
        <v>3</v>
      </c>
      <c r="G8" s="33">
        <v>4</v>
      </c>
      <c r="H8" s="27">
        <f t="shared" si="0"/>
        <v>12</v>
      </c>
      <c r="I8" s="27" t="s">
        <v>62</v>
      </c>
      <c r="J8" s="35" t="s">
        <v>80</v>
      </c>
      <c r="K8" s="42" t="s">
        <v>82</v>
      </c>
      <c r="L8" s="37"/>
    </row>
    <row r="9" spans="1:12" ht="51.5" customHeight="1" x14ac:dyDescent="0.35">
      <c r="A9" s="19" t="s">
        <v>19</v>
      </c>
      <c r="B9" s="32" t="s">
        <v>30</v>
      </c>
      <c r="C9" s="33" t="s">
        <v>50</v>
      </c>
      <c r="D9" s="34" t="s">
        <v>42</v>
      </c>
      <c r="E9" s="27" t="s">
        <v>61</v>
      </c>
      <c r="F9" s="33">
        <v>4</v>
      </c>
      <c r="G9" s="33">
        <v>3</v>
      </c>
      <c r="H9" s="27">
        <f t="shared" si="0"/>
        <v>12</v>
      </c>
      <c r="I9" s="27" t="s">
        <v>74</v>
      </c>
      <c r="J9" s="26" t="s">
        <v>78</v>
      </c>
      <c r="K9" s="42" t="s">
        <v>84</v>
      </c>
      <c r="L9" s="37"/>
    </row>
    <row r="10" spans="1:12" ht="45.5" customHeight="1" x14ac:dyDescent="0.35">
      <c r="A10" s="19" t="s">
        <v>20</v>
      </c>
      <c r="B10" s="32" t="s">
        <v>31</v>
      </c>
      <c r="C10" s="33" t="s">
        <v>51</v>
      </c>
      <c r="D10" s="34" t="s">
        <v>58</v>
      </c>
      <c r="E10" s="27" t="s">
        <v>60</v>
      </c>
      <c r="F10" s="33">
        <v>2</v>
      </c>
      <c r="G10" s="33">
        <v>4</v>
      </c>
      <c r="H10" s="27">
        <f t="shared" si="0"/>
        <v>8</v>
      </c>
      <c r="I10" s="27" t="s">
        <v>62</v>
      </c>
      <c r="J10" s="26" t="s">
        <v>75</v>
      </c>
      <c r="K10" s="42" t="s">
        <v>83</v>
      </c>
      <c r="L10" s="37"/>
    </row>
    <row r="11" spans="1:12" ht="64.5" customHeight="1" x14ac:dyDescent="0.35">
      <c r="A11" s="19" t="s">
        <v>21</v>
      </c>
      <c r="B11" s="32" t="s">
        <v>38</v>
      </c>
      <c r="C11" s="33" t="s">
        <v>52</v>
      </c>
      <c r="D11" s="34" t="s">
        <v>59</v>
      </c>
      <c r="E11" s="27" t="s">
        <v>60</v>
      </c>
      <c r="F11" s="33">
        <v>2</v>
      </c>
      <c r="G11" s="33">
        <v>4</v>
      </c>
      <c r="H11" s="27">
        <f t="shared" si="0"/>
        <v>8</v>
      </c>
      <c r="I11" s="27" t="s">
        <v>62</v>
      </c>
      <c r="J11" s="36" t="s">
        <v>79</v>
      </c>
      <c r="K11" s="42" t="s">
        <v>83</v>
      </c>
      <c r="L11" s="37"/>
    </row>
    <row r="12" spans="1:12" ht="98.5" customHeight="1" x14ac:dyDescent="0.35">
      <c r="A12" s="19" t="s">
        <v>22</v>
      </c>
      <c r="B12" s="21" t="s">
        <v>39</v>
      </c>
      <c r="C12" s="16" t="s">
        <v>46</v>
      </c>
      <c r="D12" s="17" t="s">
        <v>42</v>
      </c>
      <c r="E12" s="18" t="s">
        <v>60</v>
      </c>
      <c r="F12" s="23">
        <v>4</v>
      </c>
      <c r="G12" s="23">
        <v>5</v>
      </c>
      <c r="H12" s="20">
        <f t="shared" si="0"/>
        <v>20</v>
      </c>
      <c r="I12" s="18" t="s">
        <v>62</v>
      </c>
      <c r="J12" s="24" t="s">
        <v>71</v>
      </c>
      <c r="K12" s="41" t="s">
        <v>84</v>
      </c>
      <c r="L12" s="37"/>
    </row>
    <row r="13" spans="1:12" ht="113" customHeight="1" x14ac:dyDescent="0.35">
      <c r="A13" s="19" t="s">
        <v>23</v>
      </c>
      <c r="B13" s="21" t="s">
        <v>32</v>
      </c>
      <c r="C13" s="16" t="s">
        <v>53</v>
      </c>
      <c r="D13" s="17" t="s">
        <v>44</v>
      </c>
      <c r="E13" s="22" t="s">
        <v>60</v>
      </c>
      <c r="F13" s="23">
        <v>3</v>
      </c>
      <c r="G13" s="23">
        <v>5</v>
      </c>
      <c r="H13" s="20">
        <f t="shared" si="0"/>
        <v>15</v>
      </c>
      <c r="I13" s="18" t="s">
        <v>62</v>
      </c>
      <c r="J13" s="24" t="s">
        <v>72</v>
      </c>
      <c r="K13" s="41" t="s">
        <v>83</v>
      </c>
      <c r="L13" s="37"/>
    </row>
    <row r="14" spans="1:12" ht="46.5" customHeight="1" x14ac:dyDescent="0.35">
      <c r="A14" s="19" t="s">
        <v>24</v>
      </c>
      <c r="B14" s="32" t="s">
        <v>33</v>
      </c>
      <c r="C14" s="33" t="s">
        <v>53</v>
      </c>
      <c r="D14" s="34" t="s">
        <v>56</v>
      </c>
      <c r="E14" s="27" t="s">
        <v>60</v>
      </c>
      <c r="F14" s="33">
        <v>2</v>
      </c>
      <c r="G14" s="33">
        <v>4</v>
      </c>
      <c r="H14" s="27">
        <f t="shared" si="0"/>
        <v>8</v>
      </c>
      <c r="I14" s="27" t="s">
        <v>62</v>
      </c>
      <c r="J14" s="26" t="s">
        <v>77</v>
      </c>
      <c r="K14" s="42" t="s">
        <v>84</v>
      </c>
      <c r="L14" s="37"/>
    </row>
    <row r="15" spans="1:12" ht="68" customHeight="1" x14ac:dyDescent="0.35">
      <c r="A15" s="19" t="s">
        <v>25</v>
      </c>
      <c r="B15" s="32" t="s">
        <v>34</v>
      </c>
      <c r="C15" s="33" t="s">
        <v>54</v>
      </c>
      <c r="D15" s="34" t="s">
        <v>43</v>
      </c>
      <c r="E15" s="27" t="s">
        <v>60</v>
      </c>
      <c r="F15" s="33">
        <v>4</v>
      </c>
      <c r="G15" s="33">
        <v>3</v>
      </c>
      <c r="H15" s="27">
        <f t="shared" si="0"/>
        <v>12</v>
      </c>
      <c r="I15" s="27" t="s">
        <v>62</v>
      </c>
      <c r="J15" s="26" t="s">
        <v>76</v>
      </c>
      <c r="K15" s="42" t="s">
        <v>82</v>
      </c>
      <c r="L15" s="37"/>
    </row>
  </sheetData>
  <autoFilter ref="A1:L15"/>
  <mergeCells count="1">
    <mergeCell ref="L2:L15"/>
  </mergeCells>
  <conditionalFormatting sqref="H2:H15">
    <cfRule type="cellIs" dxfId="2" priority="1" operator="lessThan">
      <formula>8</formula>
    </cfRule>
    <cfRule type="cellIs" dxfId="1" priority="2" operator="between">
      <formula>8</formula>
      <formula>14</formula>
    </cfRule>
    <cfRule type="cellIs" dxfId="0" priority="3" operator="greaterThan">
      <formula>14</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18"/>
  <sheetViews>
    <sheetView topLeftCell="A2" workbookViewId="0">
      <selection activeCell="J13" sqref="J13"/>
    </sheetView>
  </sheetViews>
  <sheetFormatPr defaultRowHeight="14.5" x14ac:dyDescent="0.35"/>
  <cols>
    <col min="1" max="1" width="18.08984375" customWidth="1"/>
    <col min="2" max="2" width="12" customWidth="1"/>
    <col min="6" max="6" width="14" customWidth="1"/>
    <col min="7" max="7" width="16.36328125" customWidth="1"/>
  </cols>
  <sheetData>
    <row r="6" spans="1:8" x14ac:dyDescent="0.35">
      <c r="B6" s="2"/>
      <c r="C6" s="3"/>
      <c r="D6" s="2"/>
      <c r="E6" s="2"/>
      <c r="F6" s="8"/>
      <c r="G6" s="8"/>
      <c r="H6" s="9"/>
    </row>
    <row r="7" spans="1:8" x14ac:dyDescent="0.35">
      <c r="A7">
        <v>5</v>
      </c>
      <c r="B7" s="30" t="s">
        <v>10</v>
      </c>
      <c r="C7" s="7"/>
      <c r="D7" s="5"/>
      <c r="E7" s="5"/>
      <c r="F7" s="5" t="s">
        <v>22</v>
      </c>
      <c r="G7" s="5"/>
    </row>
    <row r="8" spans="1:8" x14ac:dyDescent="0.35">
      <c r="A8">
        <v>4</v>
      </c>
      <c r="B8" s="30"/>
      <c r="C8" s="10"/>
      <c r="D8" s="4"/>
      <c r="E8" s="5"/>
      <c r="F8" s="5"/>
      <c r="G8" s="5"/>
    </row>
    <row r="9" spans="1:8" ht="22.5" customHeight="1" x14ac:dyDescent="0.35">
      <c r="A9">
        <v>3</v>
      </c>
      <c r="B9" s="30"/>
      <c r="C9" s="10"/>
      <c r="D9" s="12"/>
      <c r="E9" s="4"/>
      <c r="F9" s="5" t="s">
        <v>66</v>
      </c>
      <c r="G9" s="5" t="s">
        <v>63</v>
      </c>
    </row>
    <row r="10" spans="1:8" x14ac:dyDescent="0.35">
      <c r="A10">
        <v>2</v>
      </c>
      <c r="B10" s="30"/>
      <c r="C10" s="10"/>
      <c r="D10" s="12"/>
      <c r="E10" s="12"/>
      <c r="F10" s="4" t="s">
        <v>65</v>
      </c>
      <c r="G10" s="5"/>
    </row>
    <row r="11" spans="1:8" x14ac:dyDescent="0.35">
      <c r="A11">
        <v>1</v>
      </c>
      <c r="B11" s="31"/>
      <c r="C11" s="11"/>
      <c r="D11" s="13"/>
      <c r="E11" s="13"/>
      <c r="F11" s="13"/>
      <c r="G11" s="6" t="s">
        <v>64</v>
      </c>
    </row>
    <row r="12" spans="1:8" x14ac:dyDescent="0.35">
      <c r="B12" s="2"/>
      <c r="C12" s="3">
        <v>1</v>
      </c>
      <c r="D12" s="2">
        <v>2</v>
      </c>
      <c r="E12" s="2">
        <v>3</v>
      </c>
      <c r="F12" s="8">
        <v>4</v>
      </c>
      <c r="G12" s="8">
        <v>5</v>
      </c>
    </row>
    <row r="13" spans="1:8" x14ac:dyDescent="0.35">
      <c r="B13" s="2"/>
      <c r="C13" s="28" t="s">
        <v>11</v>
      </c>
      <c r="D13" s="29"/>
      <c r="E13" s="29"/>
      <c r="F13" s="29"/>
      <c r="G13" s="29"/>
    </row>
    <row r="14" spans="1:8" x14ac:dyDescent="0.35">
      <c r="B14" s="2"/>
      <c r="C14" s="3"/>
      <c r="D14" s="2"/>
      <c r="E14" s="2"/>
      <c r="F14" s="2"/>
      <c r="G14" s="2"/>
    </row>
    <row r="18" spans="3:3" x14ac:dyDescent="0.35">
      <c r="C18" t="s">
        <v>67</v>
      </c>
    </row>
  </sheetData>
  <mergeCells count="2">
    <mergeCell ref="C13:G13"/>
    <mergeCell ref="B7: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abSelected="1" topLeftCell="A2" workbookViewId="0">
      <selection activeCell="H13" sqref="H13"/>
    </sheetView>
  </sheetViews>
  <sheetFormatPr defaultRowHeight="14.5" x14ac:dyDescent="0.35"/>
  <cols>
    <col min="1" max="1" width="55.54296875" style="45" customWidth="1"/>
    <col min="2" max="2" width="17.36328125" customWidth="1"/>
    <col min="3" max="3" width="17.6328125" customWidth="1"/>
    <col min="4" max="4" width="17.7265625" customWidth="1"/>
  </cols>
  <sheetData>
    <row r="1" spans="1:4" ht="207.5" customHeight="1" x14ac:dyDescent="0.35">
      <c r="A1" s="44" t="s">
        <v>87</v>
      </c>
      <c r="B1" s="48" t="s">
        <v>86</v>
      </c>
      <c r="C1" s="49"/>
      <c r="D1" s="49"/>
    </row>
    <row r="2" spans="1:4" x14ac:dyDescent="0.35">
      <c r="A2" s="47" t="s">
        <v>9</v>
      </c>
      <c r="B2" s="47" t="s">
        <v>84</v>
      </c>
      <c r="C2" s="47" t="s">
        <v>83</v>
      </c>
      <c r="D2" s="47" t="s">
        <v>82</v>
      </c>
    </row>
    <row r="3" spans="1:4" ht="43.5" x14ac:dyDescent="0.35">
      <c r="A3" s="24" t="s">
        <v>68</v>
      </c>
      <c r="B3" s="15" t="s">
        <v>88</v>
      </c>
      <c r="C3" s="15" t="s">
        <v>90</v>
      </c>
      <c r="D3" s="15" t="s">
        <v>89</v>
      </c>
    </row>
    <row r="4" spans="1:4" ht="58" x14ac:dyDescent="0.35">
      <c r="A4" s="24" t="s">
        <v>69</v>
      </c>
      <c r="B4" s="15" t="s">
        <v>90</v>
      </c>
      <c r="C4" s="15" t="s">
        <v>92</v>
      </c>
      <c r="D4" s="15" t="s">
        <v>91</v>
      </c>
    </row>
    <row r="5" spans="1:4" ht="58" x14ac:dyDescent="0.35">
      <c r="A5" s="26" t="s">
        <v>75</v>
      </c>
      <c r="B5" s="15" t="s">
        <v>93</v>
      </c>
      <c r="C5" s="15" t="s">
        <v>89</v>
      </c>
      <c r="D5" s="15" t="s">
        <v>92</v>
      </c>
    </row>
    <row r="6" spans="1:4" ht="29" x14ac:dyDescent="0.35">
      <c r="A6" s="26" t="s">
        <v>76</v>
      </c>
      <c r="B6" s="15" t="s">
        <v>90</v>
      </c>
      <c r="C6" s="15" t="s">
        <v>91</v>
      </c>
      <c r="D6" s="15" t="s">
        <v>92</v>
      </c>
    </row>
    <row r="7" spans="1:4" ht="72.5" x14ac:dyDescent="0.35">
      <c r="A7" s="24" t="s">
        <v>70</v>
      </c>
      <c r="B7" s="15" t="s">
        <v>90</v>
      </c>
      <c r="C7" s="15" t="s">
        <v>92</v>
      </c>
      <c r="D7" s="15" t="s">
        <v>91</v>
      </c>
    </row>
    <row r="8" spans="1:4" ht="29" x14ac:dyDescent="0.35">
      <c r="A8" s="26" t="s">
        <v>73</v>
      </c>
      <c r="B8" s="15" t="s">
        <v>90</v>
      </c>
      <c r="C8" s="15" t="s">
        <v>92</v>
      </c>
      <c r="D8" s="15" t="s">
        <v>91</v>
      </c>
    </row>
    <row r="9" spans="1:4" ht="43.5" x14ac:dyDescent="0.35">
      <c r="A9" s="26" t="s">
        <v>80</v>
      </c>
      <c r="B9" s="15" t="s">
        <v>90</v>
      </c>
      <c r="C9" s="15" t="s">
        <v>92</v>
      </c>
      <c r="D9" s="15" t="s">
        <v>91</v>
      </c>
    </row>
    <row r="10" spans="1:4" x14ac:dyDescent="0.35">
      <c r="A10" s="26" t="s">
        <v>78</v>
      </c>
      <c r="B10" s="15" t="s">
        <v>91</v>
      </c>
      <c r="C10" s="15" t="s">
        <v>92</v>
      </c>
      <c r="D10" s="15" t="s">
        <v>90</v>
      </c>
    </row>
    <row r="11" spans="1:4" ht="58" x14ac:dyDescent="0.35">
      <c r="A11" s="26" t="s">
        <v>75</v>
      </c>
      <c r="B11" s="15" t="s">
        <v>91</v>
      </c>
      <c r="C11" s="15" t="s">
        <v>92</v>
      </c>
      <c r="D11" s="15" t="s">
        <v>90</v>
      </c>
    </row>
    <row r="12" spans="1:4" ht="43.5" x14ac:dyDescent="0.35">
      <c r="A12" s="46" t="s">
        <v>79</v>
      </c>
      <c r="B12" s="15" t="s">
        <v>90</v>
      </c>
      <c r="C12" s="15" t="s">
        <v>92</v>
      </c>
      <c r="D12" s="15" t="s">
        <v>91</v>
      </c>
    </row>
    <row r="13" spans="1:4" ht="72.5" x14ac:dyDescent="0.35">
      <c r="A13" s="24" t="s">
        <v>71</v>
      </c>
      <c r="B13" s="15" t="s">
        <v>93</v>
      </c>
      <c r="C13" s="15" t="s">
        <v>89</v>
      </c>
      <c r="D13" s="15" t="s">
        <v>92</v>
      </c>
    </row>
    <row r="14" spans="1:4" ht="87" x14ac:dyDescent="0.35">
      <c r="A14" s="24" t="s">
        <v>72</v>
      </c>
      <c r="B14" s="15" t="s">
        <v>91</v>
      </c>
      <c r="C14" s="15" t="s">
        <v>92</v>
      </c>
      <c r="D14" s="15" t="s">
        <v>90</v>
      </c>
    </row>
    <row r="15" spans="1:4" ht="29" x14ac:dyDescent="0.35">
      <c r="A15" s="26" t="s">
        <v>77</v>
      </c>
      <c r="B15" s="15" t="s">
        <v>90</v>
      </c>
      <c r="C15" s="15" t="s">
        <v>92</v>
      </c>
      <c r="D15" s="15" t="s">
        <v>91</v>
      </c>
    </row>
    <row r="16" spans="1:4" ht="29" x14ac:dyDescent="0.35">
      <c r="A16" s="26" t="s">
        <v>76</v>
      </c>
      <c r="B16" s="15" t="s">
        <v>90</v>
      </c>
      <c r="C16" s="15" t="s">
        <v>92</v>
      </c>
      <c r="D16" s="15" t="s">
        <v>91</v>
      </c>
    </row>
  </sheetData>
  <mergeCells count="1">
    <mergeCell ref="B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Register</vt:lpstr>
      <vt:lpstr>HeatMap</vt:lpstr>
      <vt:lpstr>RACI Matrix</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ranjan</dc:creator>
  <cp:lastModifiedBy>Ravi ranjan</cp:lastModifiedBy>
  <dcterms:created xsi:type="dcterms:W3CDTF">2026-03-22T04:17:30Z</dcterms:created>
  <dcterms:modified xsi:type="dcterms:W3CDTF">2026-03-22T14:05:51Z</dcterms:modified>
</cp:coreProperties>
</file>